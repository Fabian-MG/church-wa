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 curso\sesion 1\"/>
    </mc:Choice>
  </mc:AlternateContent>
  <bookViews>
    <workbookView xWindow="240" yWindow="90" windowWidth="15600" windowHeight="8445"/>
  </bookViews>
  <sheets>
    <sheet name="Ejercicio de Evaluación" sheetId="1" r:id="rId1"/>
    <sheet name="Hoja2" sheetId="2" r:id="rId2"/>
  </sheets>
  <calcPr calcId="162913"/>
</workbook>
</file>

<file path=xl/calcChain.xml><?xml version="1.0" encoding="utf-8"?>
<calcChain xmlns="http://schemas.openxmlformats.org/spreadsheetml/2006/main">
  <c r="AC95" i="2" l="1"/>
  <c r="AC96" i="2" s="1"/>
  <c r="AB95" i="2"/>
  <c r="AB96" i="2" s="1"/>
  <c r="AA95" i="2"/>
  <c r="AA96" i="2" s="1"/>
  <c r="AA95" i="1"/>
</calcChain>
</file>

<file path=xl/sharedStrings.xml><?xml version="1.0" encoding="utf-8"?>
<sst xmlns="http://schemas.openxmlformats.org/spreadsheetml/2006/main" count="45" uniqueCount="17">
  <si>
    <t>Control de Ventas Zapateria Mi Estilo</t>
  </si>
  <si>
    <t>Mayo-Junio 2010</t>
  </si>
  <si>
    <t>IVA</t>
  </si>
  <si>
    <t>Vendedor</t>
  </si>
  <si>
    <t>Fecha Venta</t>
  </si>
  <si>
    <t>Modelo</t>
  </si>
  <si>
    <t>Cantidad</t>
  </si>
  <si>
    <t>Precio Unitario</t>
  </si>
  <si>
    <t>Zapato</t>
  </si>
  <si>
    <t>Pedro Ruíz Díaz</t>
  </si>
  <si>
    <t>Deportivo</t>
  </si>
  <si>
    <t>Sandalia</t>
  </si>
  <si>
    <t>José Castellanos Miranda</t>
  </si>
  <si>
    <t>Ana Rodríguez Hernandez</t>
  </si>
  <si>
    <t>subtotal</t>
  </si>
  <si>
    <t xml:space="preserve">iva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</si>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</sst>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/>
    <xf numFmtId="0" fontId="1" fillId="0" borderId="0" xfId="0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center"/>
    </xf>
    <xf numFmtId="14" fontId="1" fillId="0" borderId="0" xfId="0" applyNumberFormat="1" applyFont="1" applyFill="1"/>
    <xf numFmtId="0" fontId="1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right"/>
    </xf>
    <xf numFmtId="0" fontId="1" fillId="0" borderId="0" xfId="0" applyNumberFormat="1" applyFont="1" applyFill="1"/>
    <xf numFmtId="0" fontId="1" fillId="0" borderId="0" xfId="0" applyFont="1" applyFill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180975</xdr:colOff>
          <xdr:row>1</xdr:row>
          <xdr:rowOff>0</xdr:rowOff>
        </xdr:from>
        <xdr:to>
          <xdr:col>10</xdr:col>
          <xdr:colOff>1514475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116"/>
  <sheetViews>
    <sheetView tabSelected="1" workbookViewId="0"/>
  </sheetViews>
  <sheetFormatPr baseColWidth="10" defaultRowHeight="15" x14ac:dyDescent="0.25"/>
  <cols>
    <col min="1" max="1" width="23.5703125" customWidth="1"/>
    <col min="11" max="11" width="35.5703125" bestFit="1" customWidth="1"/>
  </cols>
  <sheetData>
    <row r="1" spans="1:8" x14ac:dyDescent="0.25">
      <c r="A1" s="1" t="s">
        <v>0</v>
      </c>
      <c r="B1" s="1"/>
      <c r="C1" s="1"/>
      <c r="D1" s="1"/>
      <c r="E1" s="1"/>
    </row>
    <row r="2" spans="1:8" x14ac:dyDescent="0.25">
      <c r="A2" s="1" t="s">
        <v>1</v>
      </c>
      <c r="B2" s="1"/>
      <c r="C2" s="1"/>
      <c r="D2" s="1"/>
      <c r="E2" s="1"/>
    </row>
    <row r="3" spans="1:8" x14ac:dyDescent="0.25">
      <c r="A3" s="1"/>
      <c r="B3" s="1"/>
      <c r="C3" s="1"/>
      <c r="D3" s="1"/>
      <c r="E3" s="1"/>
      <c r="F3" s="2"/>
      <c r="G3" s="3"/>
    </row>
    <row r="4" spans="1:8" x14ac:dyDescent="0.25">
      <c r="C4" s="1"/>
      <c r="D4" s="1"/>
      <c r="E4" s="1"/>
      <c r="F4" s="2" t="s">
        <v>2</v>
      </c>
      <c r="G4" s="3">
        <v>0.2</v>
      </c>
    </row>
    <row r="5" spans="1:8" x14ac:dyDescent="0.25">
      <c r="A5" s="1"/>
      <c r="B5" s="4"/>
      <c r="C5" s="1"/>
      <c r="D5" s="1"/>
      <c r="E5" s="5"/>
      <c r="F5" s="1"/>
      <c r="G5" s="1"/>
    </row>
    <row r="6" spans="1:8" ht="25.5" x14ac:dyDescent="0.25">
      <c r="A6" s="6" t="s">
        <v>3</v>
      </c>
      <c r="B6" s="6" t="s">
        <v>4</v>
      </c>
      <c r="C6" s="6" t="s">
        <v>5</v>
      </c>
      <c r="D6" s="6" t="s">
        <v>6</v>
      </c>
      <c r="E6" s="6" t="s">
        <v>7</v>
      </c>
      <c r="F6" s="6" t="s">
        <v>14</v>
      </c>
      <c r="G6" s="6" t="s">
        <v>15</v>
      </c>
      <c r="H6" s="6" t="s">
        <v>16</v>
      </c>
    </row>
    <row r="7" spans="1:8" ht="21" customHeight="1" x14ac:dyDescent="0.25">
      <c r="A7" s="1" t="s">
        <v>13</v>
      </c>
      <c r="B7" s="4">
        <v>40334</v>
      </c>
      <c r="C7" s="1" t="s">
        <v>8</v>
      </c>
      <c r="D7" s="7">
        <v>30</v>
      </c>
      <c r="E7" s="8">
        <v>850</v>
      </c>
      <c r="F7" s="9"/>
      <c r="G7" s="9"/>
    </row>
    <row r="8" spans="1:8" ht="21" customHeight="1" x14ac:dyDescent="0.25">
      <c r="A8" s="1" t="s">
        <v>9</v>
      </c>
      <c r="B8" s="4">
        <v>40342</v>
      </c>
      <c r="C8" s="1" t="s">
        <v>10</v>
      </c>
      <c r="D8" s="7">
        <v>10</v>
      </c>
      <c r="E8" s="8">
        <v>1400</v>
      </c>
      <c r="F8" s="9"/>
      <c r="G8" s="9"/>
    </row>
    <row r="9" spans="1:8" ht="21" customHeight="1" x14ac:dyDescent="0.25">
      <c r="A9" s="1" t="s">
        <v>9</v>
      </c>
      <c r="B9" s="4">
        <v>40347</v>
      </c>
      <c r="C9" s="1" t="s">
        <v>11</v>
      </c>
      <c r="D9" s="7">
        <v>29</v>
      </c>
      <c r="E9" s="8">
        <v>350</v>
      </c>
      <c r="F9" s="9"/>
      <c r="G9" s="9"/>
    </row>
    <row r="10" spans="1:8" ht="21" customHeight="1" x14ac:dyDescent="0.25">
      <c r="A10" s="1" t="s">
        <v>13</v>
      </c>
      <c r="B10" s="4">
        <v>40304</v>
      </c>
      <c r="C10" s="1" t="s">
        <v>8</v>
      </c>
      <c r="D10" s="7">
        <v>20</v>
      </c>
      <c r="E10" s="8">
        <v>790</v>
      </c>
      <c r="F10" s="9"/>
      <c r="G10" s="9"/>
    </row>
    <row r="11" spans="1:8" ht="21" customHeight="1" x14ac:dyDescent="0.25">
      <c r="A11" s="1" t="s">
        <v>13</v>
      </c>
      <c r="B11" s="4">
        <v>40334</v>
      </c>
      <c r="C11" s="1" t="s">
        <v>10</v>
      </c>
      <c r="D11" s="7">
        <v>35</v>
      </c>
      <c r="E11" s="8">
        <v>990</v>
      </c>
      <c r="F11" s="9"/>
      <c r="G11" s="9"/>
    </row>
    <row r="12" spans="1:8" ht="21" customHeight="1" x14ac:dyDescent="0.25">
      <c r="A12" s="1" t="s">
        <v>12</v>
      </c>
      <c r="B12" s="4">
        <v>40311</v>
      </c>
      <c r="C12" s="1" t="s">
        <v>11</v>
      </c>
      <c r="D12" s="7">
        <v>40</v>
      </c>
      <c r="E12" s="8">
        <v>455</v>
      </c>
      <c r="F12" s="9"/>
      <c r="G12" s="9"/>
    </row>
    <row r="13" spans="1:8" ht="21" customHeight="1" x14ac:dyDescent="0.25">
      <c r="A13" s="1" t="s">
        <v>13</v>
      </c>
      <c r="B13" s="4">
        <v>40347</v>
      </c>
      <c r="C13" s="1" t="s">
        <v>8</v>
      </c>
      <c r="D13" s="7">
        <v>26</v>
      </c>
      <c r="E13" s="8">
        <v>1320</v>
      </c>
      <c r="F13" s="9"/>
      <c r="G13" s="9"/>
    </row>
    <row r="14" spans="1:8" ht="21" customHeight="1" x14ac:dyDescent="0.25">
      <c r="A14" s="1" t="s">
        <v>12</v>
      </c>
      <c r="B14" s="4">
        <v>40323</v>
      </c>
      <c r="C14" s="1" t="s">
        <v>10</v>
      </c>
      <c r="D14" s="7">
        <v>28</v>
      </c>
      <c r="E14" s="8">
        <v>1170</v>
      </c>
      <c r="F14" s="9"/>
      <c r="G14" s="9"/>
    </row>
    <row r="15" spans="1:8" ht="21" customHeight="1" x14ac:dyDescent="0.25">
      <c r="A15" s="1" t="s">
        <v>12</v>
      </c>
      <c r="B15" s="4">
        <v>40334</v>
      </c>
      <c r="C15" s="1" t="s">
        <v>11</v>
      </c>
      <c r="D15" s="7">
        <v>50</v>
      </c>
      <c r="E15" s="8">
        <v>290</v>
      </c>
      <c r="F15" s="9"/>
      <c r="G15" s="9"/>
    </row>
    <row r="16" spans="1:8" ht="21" customHeight="1" x14ac:dyDescent="0.25">
      <c r="A16" s="1" t="s">
        <v>13</v>
      </c>
      <c r="B16" s="4">
        <v>40339</v>
      </c>
      <c r="C16" s="1" t="s">
        <v>8</v>
      </c>
      <c r="D16" s="7">
        <v>45</v>
      </c>
      <c r="E16" s="8">
        <v>770</v>
      </c>
      <c r="F16" s="9"/>
      <c r="G16" s="9"/>
    </row>
    <row r="17" spans="1:7" ht="21" customHeight="1" x14ac:dyDescent="0.25">
      <c r="A17" s="1" t="s">
        <v>9</v>
      </c>
      <c r="B17" s="4">
        <v>40301</v>
      </c>
      <c r="C17" s="1" t="s">
        <v>10</v>
      </c>
      <c r="D17" s="7">
        <v>32</v>
      </c>
      <c r="E17" s="8">
        <v>1200</v>
      </c>
      <c r="F17" s="9"/>
      <c r="G17" s="9"/>
    </row>
    <row r="18" spans="1:7" ht="21" customHeight="1" x14ac:dyDescent="0.25">
      <c r="A18" s="1" t="s">
        <v>12</v>
      </c>
      <c r="B18" s="4">
        <v>40344</v>
      </c>
      <c r="C18" s="1" t="s">
        <v>11</v>
      </c>
      <c r="D18" s="7">
        <v>37</v>
      </c>
      <c r="E18" s="8">
        <v>390</v>
      </c>
      <c r="F18" s="9"/>
      <c r="G18" s="9"/>
    </row>
    <row r="19" spans="1:7" ht="21" customHeight="1" x14ac:dyDescent="0.25">
      <c r="A19" s="1" t="s">
        <v>13</v>
      </c>
      <c r="B19" s="4">
        <v>40326</v>
      </c>
      <c r="C19" s="1" t="s">
        <v>8</v>
      </c>
      <c r="D19" s="7">
        <v>35</v>
      </c>
      <c r="E19" s="8">
        <v>890</v>
      </c>
      <c r="F19" s="9"/>
      <c r="G19" s="9"/>
    </row>
    <row r="20" spans="1:7" ht="21" customHeight="1" x14ac:dyDescent="0.25">
      <c r="A20" s="1" t="s">
        <v>13</v>
      </c>
      <c r="B20" s="4">
        <v>40338</v>
      </c>
      <c r="C20" s="1" t="s">
        <v>10</v>
      </c>
      <c r="D20" s="7">
        <v>26</v>
      </c>
      <c r="E20" s="8">
        <v>490</v>
      </c>
      <c r="F20" s="9"/>
      <c r="G20" s="9"/>
    </row>
    <row r="21" spans="1:7" ht="21" customHeight="1" x14ac:dyDescent="0.25">
      <c r="A21" s="1" t="s">
        <v>12</v>
      </c>
      <c r="B21" s="4">
        <v>40309</v>
      </c>
      <c r="C21" s="1" t="s">
        <v>11</v>
      </c>
      <c r="D21" s="7">
        <v>38</v>
      </c>
      <c r="E21" s="8">
        <v>320</v>
      </c>
      <c r="F21" s="9"/>
      <c r="G21" s="9"/>
    </row>
    <row r="22" spans="1:7" ht="21" customHeight="1" x14ac:dyDescent="0.25">
      <c r="A22" s="1" t="s">
        <v>13</v>
      </c>
      <c r="B22" s="4">
        <v>40303</v>
      </c>
      <c r="C22" s="1" t="s">
        <v>8</v>
      </c>
      <c r="D22" s="7">
        <v>19</v>
      </c>
      <c r="E22" s="8">
        <v>690</v>
      </c>
      <c r="F22" s="9"/>
      <c r="G22" s="9"/>
    </row>
    <row r="23" spans="1:7" ht="21" customHeight="1" x14ac:dyDescent="0.25">
      <c r="A23" s="1" t="s">
        <v>9</v>
      </c>
      <c r="B23" s="4">
        <v>40304</v>
      </c>
      <c r="C23" s="1" t="s">
        <v>8</v>
      </c>
      <c r="D23" s="7">
        <v>27</v>
      </c>
      <c r="E23" s="10">
        <v>1190</v>
      </c>
      <c r="F23" s="9"/>
      <c r="G23" s="9"/>
    </row>
    <row r="95" spans="27:27" x14ac:dyDescent="0.25">
      <c r="AA95" t="e">
        <f>IF(AA100='Ejercicio de Evaluación'!F7 and Hoja2!AA110='Ejercicio de Evaluación'!F17 and Hoja2!AA116='Ejercicio de Evaluación'!F23, 2, 0)</f>
        <v>#NAME?</v>
      </c>
    </row>
    <row r="100" spans="27:27" x14ac:dyDescent="0.25">
      <c r="AA100">
        <v>30600</v>
      </c>
    </row>
    <row r="101" spans="27:27" x14ac:dyDescent="0.25">
      <c r="AA101">
        <v>16800</v>
      </c>
    </row>
    <row r="102" spans="27:27" x14ac:dyDescent="0.25">
      <c r="AA102">
        <v>12180</v>
      </c>
    </row>
    <row r="103" spans="27:27" x14ac:dyDescent="0.25">
      <c r="AA103">
        <v>18960</v>
      </c>
    </row>
    <row r="104" spans="27:27" x14ac:dyDescent="0.25">
      <c r="AA104">
        <v>41580</v>
      </c>
    </row>
    <row r="105" spans="27:27" x14ac:dyDescent="0.25">
      <c r="AA105">
        <v>21840</v>
      </c>
    </row>
    <row r="106" spans="27:27" x14ac:dyDescent="0.25">
      <c r="AA106">
        <v>41184</v>
      </c>
    </row>
    <row r="107" spans="27:27" x14ac:dyDescent="0.25">
      <c r="AA107">
        <v>39312</v>
      </c>
    </row>
    <row r="108" spans="27:27" x14ac:dyDescent="0.25">
      <c r="AA108">
        <v>17400</v>
      </c>
    </row>
    <row r="109" spans="27:27" x14ac:dyDescent="0.25">
      <c r="AA109">
        <v>41580</v>
      </c>
    </row>
    <row r="110" spans="27:27" x14ac:dyDescent="0.25">
      <c r="AA110">
        <v>46080</v>
      </c>
    </row>
    <row r="111" spans="27:27" x14ac:dyDescent="0.25">
      <c r="AA111">
        <v>17316</v>
      </c>
    </row>
    <row r="112" spans="27:27" x14ac:dyDescent="0.25">
      <c r="AA112">
        <v>37380</v>
      </c>
    </row>
    <row r="113" spans="27:27" x14ac:dyDescent="0.25">
      <c r="AA113">
        <v>15288</v>
      </c>
    </row>
    <row r="114" spans="27:27" x14ac:dyDescent="0.25">
      <c r="AA114">
        <v>14592</v>
      </c>
    </row>
    <row r="115" spans="27:27" x14ac:dyDescent="0.25">
      <c r="AA115">
        <v>15732</v>
      </c>
    </row>
    <row r="116" spans="27:27" x14ac:dyDescent="0.25">
      <c r="AA116">
        <v>38556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>
                  <from>
                    <xdr:col>10</xdr:col>
                    <xdr:colOff>180975</xdr:colOff>
                    <xdr:row>1</xdr:row>
                    <xdr:rowOff>0</xdr:rowOff>
                  </from>
                  <to>
                    <xdr:col>10</xdr:col>
                    <xdr:colOff>1514475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A95:AD116"/>
  <sheetViews>
    <sheetView topLeftCell="R83" workbookViewId="0">
      <selection activeCell="AC95" sqref="AC95"/>
    </sheetView>
  </sheetViews>
  <sheetFormatPr baseColWidth="10" defaultRowHeight="15" x14ac:dyDescent="0.25"/>
  <cols>
    <col min="27" max="27" width="11.85546875" bestFit="1" customWidth="1"/>
  </cols>
  <sheetData>
    <row r="95" spans="27:30" x14ac:dyDescent="0.25">
      <c r="AA95" s="11">
        <f>IF( AND( 'Ejercicio de Evaluación'!F23=Hoja2!AA116, AA100='Ejercicio de Evaluación'!F7,AA110='Ejercicio de Evaluación'!F17),2,0)</f>
        <v>0</v>
      </c>
      <c r="AB95" s="11">
        <f>IF( AND( 'Ejercicio de Evaluación'!G23=Hoja2!AB116, AB100='Ejercicio de Evaluación'!G7,AB110='Ejercicio de Evaluación'!G17),6,0)</f>
        <v>0</v>
      </c>
      <c r="AC95" s="11">
        <f>IF( AND( 'Ejercicio de Evaluación'!H23=Hoja2!AC116, AC100='Ejercicio de Evaluación'!H7,AC110='Ejercicio de Evaluación'!H17),2,0)</f>
        <v>0</v>
      </c>
      <c r="AD95" s="11"/>
    </row>
    <row r="96" spans="27:30" x14ac:dyDescent="0.25">
      <c r="AA96" s="11" t="str">
        <f>IF(AA95&gt;0,"Correcto operador","Falla en Operador")</f>
        <v>Falla en Operador</v>
      </c>
      <c r="AB96" s="11" t="str">
        <f>IF(AB95&gt;0,"Correcto Uso de Referencias Absolutas","Falla en Referencias Absolutas")</f>
        <v>Falla en Referencias Absolutas</v>
      </c>
      <c r="AC96" s="11" t="str">
        <f t="shared" ref="AB96:AC96" si="0">IF(AC95&gt;0,"Correcto operador","Falla en Operador")</f>
        <v>Falla en Operador</v>
      </c>
      <c r="AD96" s="11"/>
    </row>
    <row r="97" spans="27:30" x14ac:dyDescent="0.25">
      <c r="AA97" s="11"/>
      <c r="AB97" s="11"/>
      <c r="AC97" s="11"/>
      <c r="AD97" s="11"/>
    </row>
    <row r="98" spans="27:30" x14ac:dyDescent="0.25">
      <c r="AA98" s="11"/>
      <c r="AB98" s="11"/>
      <c r="AC98" s="11"/>
      <c r="AD98" s="11"/>
    </row>
    <row r="99" spans="27:30" x14ac:dyDescent="0.25">
      <c r="AA99" s="11"/>
      <c r="AB99" s="11"/>
      <c r="AC99" s="11"/>
      <c r="AD99" s="11"/>
    </row>
    <row r="100" spans="27:30" x14ac:dyDescent="0.25">
      <c r="AA100" s="11">
        <v>25500</v>
      </c>
      <c r="AB100" s="11">
        <v>5100</v>
      </c>
      <c r="AC100" s="11">
        <v>30600</v>
      </c>
      <c r="AD100" s="11"/>
    </row>
    <row r="101" spans="27:30" x14ac:dyDescent="0.25">
      <c r="AA101" s="11">
        <v>14000</v>
      </c>
      <c r="AB101" s="11">
        <v>2800</v>
      </c>
      <c r="AC101" s="11">
        <v>16800</v>
      </c>
      <c r="AD101" s="11"/>
    </row>
    <row r="102" spans="27:30" x14ac:dyDescent="0.25">
      <c r="AA102" s="11">
        <v>10150</v>
      </c>
      <c r="AB102" s="11">
        <v>2030</v>
      </c>
      <c r="AC102" s="11">
        <v>12180</v>
      </c>
      <c r="AD102" s="11"/>
    </row>
    <row r="103" spans="27:30" x14ac:dyDescent="0.25">
      <c r="AA103" s="11">
        <v>15800</v>
      </c>
      <c r="AB103" s="11">
        <v>3160</v>
      </c>
      <c r="AC103" s="11">
        <v>18960</v>
      </c>
      <c r="AD103" s="11"/>
    </row>
    <row r="104" spans="27:30" x14ac:dyDescent="0.25">
      <c r="AA104" s="11">
        <v>34650</v>
      </c>
      <c r="AB104" s="11">
        <v>6930</v>
      </c>
      <c r="AC104" s="11">
        <v>41580</v>
      </c>
      <c r="AD104" s="11"/>
    </row>
    <row r="105" spans="27:30" x14ac:dyDescent="0.25">
      <c r="AA105" s="11">
        <v>18200</v>
      </c>
      <c r="AB105" s="11">
        <v>3640</v>
      </c>
      <c r="AC105" s="11">
        <v>21840</v>
      </c>
      <c r="AD105" s="11"/>
    </row>
    <row r="106" spans="27:30" x14ac:dyDescent="0.25">
      <c r="AA106" s="11">
        <v>34320</v>
      </c>
      <c r="AB106" s="11">
        <v>6864</v>
      </c>
      <c r="AC106" s="11">
        <v>41184</v>
      </c>
      <c r="AD106" s="11"/>
    </row>
    <row r="107" spans="27:30" x14ac:dyDescent="0.25">
      <c r="AA107" s="11">
        <v>32760</v>
      </c>
      <c r="AB107" s="11">
        <v>6552</v>
      </c>
      <c r="AC107" s="11">
        <v>39312</v>
      </c>
      <c r="AD107" s="11"/>
    </row>
    <row r="108" spans="27:30" x14ac:dyDescent="0.25">
      <c r="AA108" s="11">
        <v>14500</v>
      </c>
      <c r="AB108" s="11">
        <v>2900</v>
      </c>
      <c r="AC108" s="11">
        <v>17400</v>
      </c>
      <c r="AD108" s="11"/>
    </row>
    <row r="109" spans="27:30" x14ac:dyDescent="0.25">
      <c r="AA109" s="11">
        <v>34650</v>
      </c>
      <c r="AB109" s="11">
        <v>6930</v>
      </c>
      <c r="AC109" s="11">
        <v>41580</v>
      </c>
      <c r="AD109" s="11"/>
    </row>
    <row r="110" spans="27:30" x14ac:dyDescent="0.25">
      <c r="AA110" s="11">
        <v>38400</v>
      </c>
      <c r="AB110" s="11">
        <v>7680</v>
      </c>
      <c r="AC110" s="11">
        <v>46080</v>
      </c>
      <c r="AD110" s="11"/>
    </row>
    <row r="111" spans="27:30" x14ac:dyDescent="0.25">
      <c r="AA111" s="11">
        <v>14430</v>
      </c>
      <c r="AB111" s="11">
        <v>2886</v>
      </c>
      <c r="AC111" s="11">
        <v>17316</v>
      </c>
      <c r="AD111" s="11"/>
    </row>
    <row r="112" spans="27:30" x14ac:dyDescent="0.25">
      <c r="AA112" s="11">
        <v>31150</v>
      </c>
      <c r="AB112" s="11">
        <v>6230</v>
      </c>
      <c r="AC112" s="11">
        <v>37380</v>
      </c>
      <c r="AD112" s="11"/>
    </row>
    <row r="113" spans="27:30" x14ac:dyDescent="0.25">
      <c r="AA113" s="11">
        <v>12740</v>
      </c>
      <c r="AB113" s="11">
        <v>2548</v>
      </c>
      <c r="AC113" s="11">
        <v>15288</v>
      </c>
      <c r="AD113" s="11"/>
    </row>
    <row r="114" spans="27:30" x14ac:dyDescent="0.25">
      <c r="AA114" s="11">
        <v>12160</v>
      </c>
      <c r="AB114" s="11">
        <v>2432</v>
      </c>
      <c r="AC114" s="11">
        <v>14592</v>
      </c>
      <c r="AD114" s="11"/>
    </row>
    <row r="115" spans="27:30" x14ac:dyDescent="0.25">
      <c r="AA115" s="11">
        <v>13110</v>
      </c>
      <c r="AB115" s="11">
        <v>2622</v>
      </c>
      <c r="AC115" s="11">
        <v>15732</v>
      </c>
      <c r="AD115" s="11"/>
    </row>
    <row r="116" spans="27:30" x14ac:dyDescent="0.25">
      <c r="AA116" s="11">
        <v>32130</v>
      </c>
      <c r="AB116" s="11">
        <v>6426</v>
      </c>
      <c r="AC116" s="11">
        <v>38556</v>
      </c>
      <c r="AD11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 de Evaluación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Administrador</cp:lastModifiedBy>
  <dcterms:created xsi:type="dcterms:W3CDTF">2010-07-23T16:47:55Z</dcterms:created>
  <dcterms:modified xsi:type="dcterms:W3CDTF">2017-08-22T15:28:54Z</dcterms:modified>
</cp:coreProperties>
</file>